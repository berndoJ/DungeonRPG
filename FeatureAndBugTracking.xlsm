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Coding\Unity Games\DungeonRPG\"/>
    </mc:Choice>
  </mc:AlternateContent>
  <xr:revisionPtr revIDLastSave="0" documentId="10_ncr:100000_{E9AAD79E-8987-455C-9035-E10D6CD6C7B9}" xr6:coauthVersionLast="31" xr6:coauthVersionMax="31" xr10:uidLastSave="{00000000-0000-0000-0000-000000000000}"/>
  <bookViews>
    <workbookView xWindow="0" yWindow="0" windowWidth="38400" windowHeight="17625" xr2:uid="{345AE1FA-BF43-4EEF-ABF3-6AFED8E93477}"/>
  </bookViews>
  <sheets>
    <sheet name="Feature Wishlist" sheetId="1" r:id="rId1"/>
    <sheet name="Bug List" sheetId="5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12" i="1"/>
  <c r="A5" i="5"/>
  <c r="A27" i="5"/>
  <c r="A11" i="5"/>
  <c r="A16" i="5"/>
  <c r="A10" i="5"/>
  <c r="A39" i="1"/>
  <c r="A36" i="1"/>
  <c r="A38" i="1"/>
  <c r="A33" i="1"/>
  <c r="A35" i="1"/>
  <c r="A13" i="5"/>
  <c r="A20" i="5"/>
  <c r="A4" i="5"/>
  <c r="A34" i="5"/>
  <c r="A18" i="5"/>
  <c r="A40" i="1"/>
  <c r="A20" i="1"/>
  <c r="A37" i="1"/>
  <c r="A11" i="1"/>
  <c r="A21" i="5"/>
  <c r="A6" i="5"/>
  <c r="A36" i="5"/>
  <c r="A35" i="5"/>
  <c r="A26" i="5"/>
  <c r="A10" i="1"/>
  <c r="A27" i="1"/>
  <c r="A25" i="1"/>
  <c r="A15" i="1"/>
  <c r="A23" i="1"/>
  <c r="A3" i="5"/>
  <c r="A19" i="1"/>
  <c r="A33" i="5"/>
  <c r="A4" i="1"/>
  <c r="A29" i="5"/>
  <c r="A14" i="5"/>
  <c r="A7" i="5"/>
  <c r="A28" i="5"/>
  <c r="A19" i="5"/>
  <c r="A24" i="1"/>
  <c r="A30" i="1"/>
  <c r="A34" i="1"/>
  <c r="A5" i="1"/>
  <c r="A13" i="1"/>
  <c r="A30" i="5"/>
  <c r="A23" i="5"/>
  <c r="A28" i="1"/>
  <c r="A31" i="1"/>
  <c r="A16" i="1"/>
  <c r="A37" i="5"/>
  <c r="A22" i="5"/>
  <c r="A15" i="5"/>
  <c r="A9" i="5"/>
  <c r="A12" i="5"/>
  <c r="A22" i="1"/>
  <c r="A21" i="1"/>
  <c r="A8" i="5"/>
  <c r="A17" i="5"/>
  <c r="A17" i="1"/>
  <c r="A18" i="1"/>
  <c r="A29" i="1"/>
  <c r="A32" i="5"/>
  <c r="A38" i="5"/>
  <c r="A31" i="5"/>
  <c r="A25" i="5"/>
  <c r="A3" i="1"/>
  <c r="A9" i="1"/>
  <c r="A26" i="1"/>
  <c r="A7" i="1"/>
  <c r="A32" i="1"/>
  <c r="A40" i="5"/>
  <c r="A24" i="5"/>
  <c r="A39" i="5"/>
  <c r="A14" i="1"/>
  <c r="A8" i="1"/>
  <c r="N8" i="1" l="1"/>
  <c r="N14" i="1"/>
  <c r="M39" i="5"/>
  <c r="M24" i="5"/>
  <c r="M40" i="5"/>
  <c r="N32" i="1"/>
  <c r="N7" i="1"/>
  <c r="N26" i="1"/>
  <c r="N9" i="1"/>
  <c r="N3" i="1"/>
  <c r="M25" i="5"/>
  <c r="M31" i="5"/>
  <c r="M38" i="5"/>
  <c r="M32" i="5"/>
  <c r="N29" i="1"/>
  <c r="N18" i="1"/>
  <c r="N17" i="1"/>
  <c r="M17" i="5"/>
  <c r="M8" i="5"/>
  <c r="N21" i="1"/>
  <c r="N22" i="1"/>
  <c r="M12" i="5"/>
  <c r="M9" i="5"/>
  <c r="M15" i="5"/>
  <c r="M22" i="5"/>
  <c r="M37" i="5"/>
  <c r="N16" i="1"/>
  <c r="N31" i="1"/>
  <c r="N28" i="1"/>
  <c r="M23" i="5"/>
  <c r="M30" i="5"/>
  <c r="N6" i="1"/>
  <c r="N13" i="1"/>
  <c r="N5" i="1"/>
  <c r="N34" i="1"/>
  <c r="N30" i="1"/>
  <c r="N24" i="1"/>
  <c r="M19" i="5"/>
  <c r="M28" i="5"/>
  <c r="M7" i="5"/>
  <c r="M14" i="5"/>
  <c r="M29" i="5"/>
  <c r="N4" i="1"/>
  <c r="M33" i="5"/>
  <c r="N19" i="1"/>
  <c r="M3" i="5"/>
  <c r="N23" i="1"/>
  <c r="N15" i="1"/>
  <c r="N25" i="1"/>
  <c r="N27" i="1"/>
  <c r="N10" i="1"/>
  <c r="M26" i="5"/>
  <c r="M35" i="5"/>
  <c r="M36" i="5"/>
  <c r="M6" i="5"/>
  <c r="M21" i="5"/>
  <c r="N11" i="1"/>
  <c r="N37" i="1"/>
  <c r="N20" i="1"/>
  <c r="N40" i="1"/>
  <c r="M18" i="5"/>
  <c r="M34" i="5"/>
  <c r="M4" i="5"/>
  <c r="M20" i="5"/>
  <c r="M13" i="5"/>
  <c r="N35" i="1"/>
  <c r="N33" i="1"/>
  <c r="N38" i="1"/>
  <c r="N36" i="1"/>
  <c r="N39" i="1"/>
  <c r="M10" i="5"/>
  <c r="M16" i="5"/>
  <c r="M11" i="5"/>
  <c r="M27" i="5"/>
  <c r="M5" i="5"/>
  <c r="N12" i="1"/>
  <c r="M1" i="5" l="1"/>
  <c r="N1" i="1"/>
</calcChain>
</file>

<file path=xl/sharedStrings.xml><?xml version="1.0" encoding="utf-8"?>
<sst xmlns="http://schemas.openxmlformats.org/spreadsheetml/2006/main" count="273" uniqueCount="46">
  <si>
    <t>Feature Wishlist</t>
  </si>
  <si>
    <t>Feature ID</t>
  </si>
  <si>
    <t>Feature Name</t>
  </si>
  <si>
    <t>Feature Content</t>
  </si>
  <si>
    <t>Date Created</t>
  </si>
  <si>
    <t>Duplikat</t>
  </si>
  <si>
    <t>Internal Dev Bug Tracking List</t>
  </si>
  <si>
    <t>Bug ID</t>
  </si>
  <si>
    <t>Bug Description</t>
  </si>
  <si>
    <t>Implemented</t>
  </si>
  <si>
    <t>Implementation Date</t>
  </si>
  <si>
    <t>Commit ID</t>
  </si>
  <si>
    <t>Duplicate</t>
  </si>
  <si>
    <t>Game Console</t>
  </si>
  <si>
    <t>Add a game console, accessible by F1 for ingame commands.</t>
  </si>
  <si>
    <t>YES</t>
  </si>
  <si>
    <t>575b05b</t>
  </si>
  <si>
    <t>NO</t>
  </si>
  <si>
    <t>-</t>
  </si>
  <si>
    <t>No Inventory Open Movement</t>
  </si>
  <si>
    <t>Player Movement gets disabled when the player opens the inventory.</t>
  </si>
  <si>
    <t>dc7328d</t>
  </si>
  <si>
    <t>Climbing Ladders</t>
  </si>
  <si>
    <t>Player can climb ladders ingame.</t>
  </si>
  <si>
    <t>Swimming in Water</t>
  </si>
  <si>
    <t>Player can swim in water</t>
  </si>
  <si>
    <t>Hotbar Slot Overlay</t>
  </si>
  <si>
    <t>Add hotbar slot overlay / Selection of items / main hand - off hand</t>
  </si>
  <si>
    <t>Potions</t>
  </si>
  <si>
    <t>Potion Items / Potion system / Effect system</t>
  </si>
  <si>
    <t>Potion Cork Drop</t>
  </si>
  <si>
    <t>Player drops cork when drinking potion and leaves empty bottle behind</t>
  </si>
  <si>
    <t>Fixed</t>
  </si>
  <si>
    <t>Fix Date</t>
  </si>
  <si>
    <t>Date Filed</t>
  </si>
  <si>
    <t>Player does not drop item when draging it and closing inventory.</t>
  </si>
  <si>
    <t>Creator</t>
  </si>
  <si>
    <t>Striker5</t>
  </si>
  <si>
    <t>When dieing and console is open, player does not regain input control.</t>
  </si>
  <si>
    <t>BerndoJ</t>
  </si>
  <si>
    <t>85e8beb</t>
  </si>
  <si>
    <t>Chests</t>
  </si>
  <si>
    <t>Implement chests with drops in them.</t>
  </si>
  <si>
    <t>GodMode</t>
  </si>
  <si>
    <t>GodMode for making the player invincible.</t>
  </si>
  <si>
    <t>2db1679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</si>
</sst>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7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242729"/>
      <name val="Consolas"/>
      <family val="3"/>
    </font>
    <font>
      <sz val="12"/>
      <color theme="1"/>
      <name val="Consolas"/>
      <family val="3"/>
    </font>
    <font>
      <sz val="12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578-9208-4F2C-B37E-E7B9B6BA5CC2}">
  <sheetPr codeName="Tabelle1"/>
  <dimension ref="A1:N512"/>
  <sheetViews>
    <sheetView tabSelected="1" zoomScaleNormal="100" workbookViewId="0">
      <pane ySplit="2" topLeftCell="A3" activePane="bottomLeft" state="frozen"/>
      <selection pane="bottomLeft" activeCell="G12" sqref="G12"/>
    </sheetView>
  </sheetViews>
  <sheetFormatPr baseColWidth="10" defaultRowHeight="15.75" x14ac:dyDescent="0.25"/>
  <cols>
    <col min="1" max="1" width="27.7109375" style="10" customWidth="1"/>
    <col min="2" max="2" width="35.85546875" style="4" customWidth="1"/>
    <col min="3" max="3" width="78.28515625" style="4" customWidth="1"/>
    <col min="4" max="4" width="23.5703125" style="5" customWidth="1"/>
    <col min="5" max="5" width="16.42578125" style="14" customWidth="1"/>
    <col min="6" max="6" width="18.5703125" style="8" customWidth="1"/>
    <col min="7" max="7" width="23.7109375" style="5" customWidth="1"/>
    <col min="8" max="8" width="12.85546875" style="10" customWidth="1"/>
    <col min="9" max="16384" width="11.42578125" style="4"/>
  </cols>
  <sheetData>
    <row r="1" spans="1:14" s="1" customFormat="1" ht="23.25" x14ac:dyDescent="0.35">
      <c r="A1" s="15" t="s">
        <v>0</v>
      </c>
      <c r="B1" s="15"/>
      <c r="C1" s="15"/>
      <c r="D1" s="15"/>
      <c r="E1" s="12"/>
      <c r="N1" s="2" t="str">
        <f>IF(COUNTIF($N3:$N$65535,TRUE)&gt;0,"DUPLIKAT!","-")</f>
        <v>-</v>
      </c>
    </row>
    <row r="2" spans="1:14" s="3" customFormat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36</v>
      </c>
      <c r="F2" s="3" t="s">
        <v>9</v>
      </c>
      <c r="G2" s="3" t="s">
        <v>10</v>
      </c>
      <c r="H2" s="3" t="s">
        <v>11</v>
      </c>
      <c r="N2" s="3" t="s">
        <v>12</v>
      </c>
    </row>
    <row r="3" spans="1:14" x14ac:dyDescent="0.25">
      <c r="A3" s="9" t="str">
        <f t="shared" ref="A3:A40" si="0"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941a-0fcf-ba60-cb04</v>
      </c>
      <c r="B3" s="4" t="s">
        <v>13</v>
      </c>
      <c r="C3" s="4" t="s">
        <v>14</v>
      </c>
      <c r="D3" s="5">
        <v>43387</v>
      </c>
      <c r="E3" s="14" t="s">
        <v>39</v>
      </c>
      <c r="F3" s="6" t="s">
        <v>15</v>
      </c>
      <c r="G3" s="5">
        <v>43387</v>
      </c>
      <c r="H3" s="10" t="s">
        <v>16</v>
      </c>
      <c r="N3" s="4" t="b">
        <f>COUNTIF($A3:$A$65535,$A3)&gt;1</f>
        <v>0</v>
      </c>
    </row>
    <row r="4" spans="1:14" x14ac:dyDescent="0.25">
      <c r="A4" s="9" t="str">
        <f t="shared" si="0"/>
        <v>3069-2a15-3f99-3852</v>
      </c>
      <c r="B4" s="4" t="s">
        <v>19</v>
      </c>
      <c r="C4" s="4" t="s">
        <v>20</v>
      </c>
      <c r="D4" s="5">
        <v>43387</v>
      </c>
      <c r="E4" s="14" t="s">
        <v>37</v>
      </c>
      <c r="F4" s="6" t="s">
        <v>15</v>
      </c>
      <c r="G4" s="5">
        <v>43387</v>
      </c>
      <c r="H4" s="10" t="s">
        <v>21</v>
      </c>
      <c r="N4" s="4" t="b">
        <f>COUNTIF($A4:$A$65535,$A4)&gt;1</f>
        <v>0</v>
      </c>
    </row>
    <row r="5" spans="1:14" x14ac:dyDescent="0.25">
      <c r="A5" s="9" t="str">
        <f t="shared" si="0"/>
        <v>1100-2a80-07b4-17e8</v>
      </c>
      <c r="B5" s="4" t="s">
        <v>22</v>
      </c>
      <c r="C5" s="4" t="s">
        <v>23</v>
      </c>
      <c r="D5" s="5">
        <v>43387</v>
      </c>
      <c r="E5" s="14" t="s">
        <v>37</v>
      </c>
      <c r="F5" s="7" t="s">
        <v>17</v>
      </c>
      <c r="G5" s="5" t="s">
        <v>18</v>
      </c>
      <c r="H5" s="10" t="s">
        <v>18</v>
      </c>
      <c r="N5" s="4" t="b">
        <f>COUNTIF($A5:$A$65535,$A5)&gt;1</f>
        <v>0</v>
      </c>
    </row>
    <row r="6" spans="1:14" x14ac:dyDescent="0.25">
      <c r="A6" s="9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279f-1696-0d66-04c9</v>
      </c>
      <c r="B6" s="4" t="s">
        <v>24</v>
      </c>
      <c r="C6" s="4" t="s">
        <v>25</v>
      </c>
      <c r="D6" s="5">
        <v>43387</v>
      </c>
      <c r="E6" s="14" t="s">
        <v>39</v>
      </c>
      <c r="F6" s="7" t="s">
        <v>17</v>
      </c>
      <c r="G6" s="5" t="s">
        <v>18</v>
      </c>
      <c r="H6" s="10" t="s">
        <v>18</v>
      </c>
      <c r="N6" s="4" t="b">
        <f>COUNTIF($A6:$A$65535,$A6)&gt;1</f>
        <v>0</v>
      </c>
    </row>
    <row r="7" spans="1:14" x14ac:dyDescent="0.25">
      <c r="A7" s="9" t="str">
        <f t="shared" si="0"/>
        <v>0160-2838-06e0-1e14</v>
      </c>
      <c r="B7" s="4" t="s">
        <v>26</v>
      </c>
      <c r="C7" s="4" t="s">
        <v>27</v>
      </c>
      <c r="D7" s="5">
        <v>43387</v>
      </c>
      <c r="E7" s="14" t="s">
        <v>37</v>
      </c>
      <c r="F7" s="6" t="s">
        <v>15</v>
      </c>
      <c r="G7" s="5">
        <v>43390</v>
      </c>
      <c r="H7" s="10" t="s">
        <v>40</v>
      </c>
      <c r="N7" s="4" t="b">
        <f>COUNTIF($A7:$A$65535,$A7)&gt;1</f>
        <v>0</v>
      </c>
    </row>
    <row r="8" spans="1:14" x14ac:dyDescent="0.25">
      <c r="A8" s="9" t="str">
        <f t="shared" si="0"/>
        <v>0b60-1b20-0ee0-151c</v>
      </c>
      <c r="B8" s="4" t="s">
        <v>28</v>
      </c>
      <c r="C8" s="4" t="s">
        <v>29</v>
      </c>
      <c r="D8" s="5">
        <v>43387</v>
      </c>
      <c r="E8" s="14" t="s">
        <v>37</v>
      </c>
      <c r="F8" s="7" t="s">
        <v>17</v>
      </c>
      <c r="G8" s="5" t="s">
        <v>18</v>
      </c>
      <c r="H8" s="10" t="s">
        <v>18</v>
      </c>
      <c r="N8" s="4" t="b">
        <f>COUNTIF($A8:$A$65535,$A8)&gt;1</f>
        <v>0</v>
      </c>
    </row>
    <row r="9" spans="1:14" x14ac:dyDescent="0.25">
      <c r="A9" s="9" t="str">
        <f t="shared" si="0"/>
        <v>0898-8980-4e20-5b68</v>
      </c>
      <c r="B9" s="4" t="s">
        <v>30</v>
      </c>
      <c r="C9" s="4" t="s">
        <v>31</v>
      </c>
      <c r="D9" s="5">
        <v>43387</v>
      </c>
      <c r="E9" s="14" t="s">
        <v>37</v>
      </c>
      <c r="F9" s="7" t="s">
        <v>17</v>
      </c>
      <c r="G9" s="5" t="s">
        <v>18</v>
      </c>
      <c r="H9" s="10" t="s">
        <v>18</v>
      </c>
      <c r="N9" s="4" t="b">
        <f>COUNTIF($A9:$A$65535,$A9)&gt;1</f>
        <v>0</v>
      </c>
    </row>
    <row r="10" spans="1:14" x14ac:dyDescent="0.25">
      <c r="A10" s="9" t="str">
        <f t="shared" si="0"/>
        <v>1b00-7b30-81f0-0900</v>
      </c>
      <c r="B10" s="4" t="s">
        <v>41</v>
      </c>
      <c r="C10" s="4" t="s">
        <v>42</v>
      </c>
      <c r="D10" s="5">
        <v>43393</v>
      </c>
      <c r="E10" s="14" t="s">
        <v>39</v>
      </c>
      <c r="F10" s="7" t="s">
        <v>17</v>
      </c>
      <c r="G10" s="5" t="s">
        <v>18</v>
      </c>
      <c r="H10" s="10" t="s">
        <v>18</v>
      </c>
      <c r="N10" s="4" t="b">
        <f>COUNTIF($A10:$A$65535,$A10)&gt;1</f>
        <v>0</v>
      </c>
    </row>
    <row r="11" spans="1:14" x14ac:dyDescent="0.25">
      <c r="A11" s="9" t="str">
        <f t="shared" si="0"/>
        <v>013b-049f-019d-00af</v>
      </c>
      <c r="B11" s="4" t="s">
        <v>43</v>
      </c>
      <c r="C11" s="4" t="s">
        <v>44</v>
      </c>
      <c r="D11" s="5">
        <v>43393</v>
      </c>
      <c r="E11" s="14" t="s">
        <v>39</v>
      </c>
      <c r="F11" s="6" t="s">
        <v>15</v>
      </c>
      <c r="G11" s="5">
        <v>43394</v>
      </c>
      <c r="H11" s="10" t="s">
        <v>45</v>
      </c>
      <c r="N11" s="4" t="b">
        <f>COUNTIF($A11:$A$65535,$A11)&gt;1</f>
        <v>0</v>
      </c>
    </row>
    <row r="12" spans="1:14" x14ac:dyDescent="0.25">
      <c r="A12" s="9" t="str">
        <f t="shared" si="0"/>
        <v>2d28-29f8-4268-2a80</v>
      </c>
      <c r="F12" s="7" t="s">
        <v>17</v>
      </c>
      <c r="G12" s="5" t="s">
        <v>18</v>
      </c>
      <c r="H12" s="10" t="s">
        <v>18</v>
      </c>
      <c r="N12" s="4" t="b">
        <f>COUNTIF($A12:$A$65535,$A12)&gt;1</f>
        <v>0</v>
      </c>
    </row>
    <row r="13" spans="1:14" x14ac:dyDescent="0.25">
      <c r="A13" s="9" t="str">
        <f t="shared" si="0"/>
        <v>8e71-1eb9-8463-29e5</v>
      </c>
      <c r="F13" s="7" t="s">
        <v>17</v>
      </c>
      <c r="G13" s="5" t="s">
        <v>18</v>
      </c>
      <c r="H13" s="10" t="s">
        <v>18</v>
      </c>
      <c r="N13" s="4" t="b">
        <f>COUNTIF($A13:$A$65535,$A13)&gt;1</f>
        <v>0</v>
      </c>
    </row>
    <row r="14" spans="1:14" x14ac:dyDescent="0.25">
      <c r="A14" s="9" t="str">
        <f t="shared" si="0"/>
        <v>8976-13c4-ddea-ddea</v>
      </c>
      <c r="F14" s="7" t="s">
        <v>17</v>
      </c>
      <c r="G14" s="5" t="s">
        <v>18</v>
      </c>
      <c r="H14" s="10" t="s">
        <v>18</v>
      </c>
      <c r="N14" s="4" t="b">
        <f>COUNTIF($A14:$A$65535,$A14)&gt;1</f>
        <v>0</v>
      </c>
    </row>
    <row r="15" spans="1:14" x14ac:dyDescent="0.25">
      <c r="A15" s="9" t="str">
        <f t="shared" si="0"/>
        <v>4896-3a56-140a-5982</v>
      </c>
      <c r="F15" s="7" t="s">
        <v>17</v>
      </c>
      <c r="G15" s="5" t="s">
        <v>18</v>
      </c>
      <c r="H15" s="10" t="s">
        <v>18</v>
      </c>
      <c r="N15" s="4" t="b">
        <f>COUNTIF($A15:$A$65535,$A15)&gt;1</f>
        <v>0</v>
      </c>
    </row>
    <row r="16" spans="1:14" x14ac:dyDescent="0.25">
      <c r="A16" s="9" t="str">
        <f t="shared" si="0"/>
        <v>55f0-1d90-2b50-0840</v>
      </c>
      <c r="F16" s="7" t="s">
        <v>17</v>
      </c>
      <c r="G16" s="5" t="s">
        <v>18</v>
      </c>
      <c r="H16" s="10" t="s">
        <v>18</v>
      </c>
      <c r="N16" s="4" t="b">
        <f>COUNTIF($A16:$A$65535,$A16)&gt;1</f>
        <v>0</v>
      </c>
    </row>
    <row r="17" spans="1:14" x14ac:dyDescent="0.25">
      <c r="A17" s="9" t="str">
        <f t="shared" si="0"/>
        <v>0aaa-0a5c-1fd7-08fd</v>
      </c>
      <c r="F17" s="7" t="s">
        <v>17</v>
      </c>
      <c r="G17" s="5" t="s">
        <v>18</v>
      </c>
      <c r="H17" s="10" t="s">
        <v>18</v>
      </c>
      <c r="N17" s="4" t="b">
        <f>COUNTIF($A17:$A$65535,$A17)&gt;1</f>
        <v>0</v>
      </c>
    </row>
    <row r="18" spans="1:14" x14ac:dyDescent="0.25">
      <c r="A18" s="9" t="str">
        <f t="shared" si="0"/>
        <v>539e-87be-0000-0116</v>
      </c>
      <c r="F18" s="7" t="s">
        <v>17</v>
      </c>
      <c r="G18" s="5" t="s">
        <v>18</v>
      </c>
      <c r="H18" s="10" t="s">
        <v>18</v>
      </c>
      <c r="N18" s="4" t="b">
        <f>COUNTIF($A18:$A$65535,$A18)&gt;1</f>
        <v>0</v>
      </c>
    </row>
    <row r="19" spans="1:14" x14ac:dyDescent="0.25">
      <c r="A19" s="9" t="str">
        <f t="shared" si="0"/>
        <v>044b-066d-012d-0070</v>
      </c>
      <c r="F19" s="7" t="s">
        <v>17</v>
      </c>
      <c r="G19" s="5" t="s">
        <v>18</v>
      </c>
      <c r="H19" s="10" t="s">
        <v>18</v>
      </c>
      <c r="N19" s="4" t="b">
        <f>COUNTIF($A19:$A$65535,$A19)&gt;1</f>
        <v>0</v>
      </c>
    </row>
    <row r="20" spans="1:14" x14ac:dyDescent="0.25">
      <c r="A20" s="9" t="str">
        <f t="shared" si="0"/>
        <v>1626-032a-102c-1086</v>
      </c>
      <c r="F20" s="7" t="s">
        <v>17</v>
      </c>
      <c r="G20" s="5" t="s">
        <v>18</v>
      </c>
      <c r="H20" s="10" t="s">
        <v>18</v>
      </c>
      <c r="N20" s="4" t="b">
        <f>COUNTIF($A20:$A$65535,$A20)&gt;1</f>
        <v>0</v>
      </c>
    </row>
    <row r="21" spans="1:14" x14ac:dyDescent="0.25">
      <c r="A21" s="9" t="str">
        <f t="shared" si="0"/>
        <v>a6dc-799c-558d-95e4</v>
      </c>
      <c r="F21" s="7" t="s">
        <v>17</v>
      </c>
      <c r="G21" s="5" t="s">
        <v>18</v>
      </c>
      <c r="H21" s="10" t="s">
        <v>18</v>
      </c>
      <c r="N21" s="4" t="b">
        <f>COUNTIF($A21:$A$65535,$A21)&gt;1</f>
        <v>0</v>
      </c>
    </row>
    <row r="22" spans="1:14" x14ac:dyDescent="0.25">
      <c r="A22" s="9" t="str">
        <f t="shared" si="0"/>
        <v>0dd6-3671-4c66-23cb</v>
      </c>
      <c r="F22" s="7" t="s">
        <v>17</v>
      </c>
      <c r="G22" s="5" t="s">
        <v>18</v>
      </c>
      <c r="H22" s="10" t="s">
        <v>18</v>
      </c>
      <c r="N22" s="4" t="b">
        <f>COUNTIF($A22:$A$65535,$A22)&gt;1</f>
        <v>0</v>
      </c>
    </row>
    <row r="23" spans="1:14" x14ac:dyDescent="0.25">
      <c r="A23" s="9" t="str">
        <f t="shared" si="0"/>
        <v>7485-71f9-0847-7b86</v>
      </c>
      <c r="F23" s="7" t="s">
        <v>17</v>
      </c>
      <c r="G23" s="5" t="s">
        <v>18</v>
      </c>
      <c r="H23" s="10" t="s">
        <v>18</v>
      </c>
      <c r="N23" s="4" t="b">
        <f>COUNTIF($A23:$A$65535,$A23)&gt;1</f>
        <v>0</v>
      </c>
    </row>
    <row r="24" spans="1:14" x14ac:dyDescent="0.25">
      <c r="A24" s="9" t="str">
        <f t="shared" si="0"/>
        <v>1f02-9171-a560-8f3a</v>
      </c>
      <c r="F24" s="7" t="s">
        <v>17</v>
      </c>
      <c r="G24" s="5" t="s">
        <v>18</v>
      </c>
      <c r="H24" s="10" t="s">
        <v>18</v>
      </c>
      <c r="N24" s="4" t="b">
        <f>COUNTIF($A24:$A$65535,$A24)&gt;1</f>
        <v>0</v>
      </c>
    </row>
    <row r="25" spans="1:14" x14ac:dyDescent="0.25">
      <c r="A25" s="9" t="str">
        <f t="shared" si="0"/>
        <v>03ec-0278-0220-00f0</v>
      </c>
      <c r="F25" s="7" t="s">
        <v>17</v>
      </c>
      <c r="G25" s="5" t="s">
        <v>18</v>
      </c>
      <c r="H25" s="10" t="s">
        <v>18</v>
      </c>
      <c r="N25" s="4" t="b">
        <f>COUNTIF($A25:$A$65535,$A25)&gt;1</f>
        <v>0</v>
      </c>
    </row>
    <row r="26" spans="1:14" x14ac:dyDescent="0.25">
      <c r="A26" s="9" t="str">
        <f t="shared" si="0"/>
        <v>a7c8-0d82-6f9e-0eee</v>
      </c>
      <c r="F26" s="7" t="s">
        <v>17</v>
      </c>
      <c r="G26" s="5" t="s">
        <v>18</v>
      </c>
      <c r="H26" s="10" t="s">
        <v>18</v>
      </c>
      <c r="N26" s="4" t="b">
        <f>COUNTIF($A26:$A$65535,$A26)&gt;1</f>
        <v>0</v>
      </c>
    </row>
    <row r="27" spans="1:14" x14ac:dyDescent="0.25">
      <c r="A27" s="9" t="str">
        <f t="shared" si="0"/>
        <v>7d4c-1734-4284-4ee4</v>
      </c>
      <c r="F27" s="7" t="s">
        <v>17</v>
      </c>
      <c r="G27" s="5" t="s">
        <v>18</v>
      </c>
      <c r="H27" s="10" t="s">
        <v>18</v>
      </c>
      <c r="N27" s="4" t="b">
        <f>COUNTIF($A27:$A$65535,$A27)&gt;1</f>
        <v>0</v>
      </c>
    </row>
    <row r="28" spans="1:14" x14ac:dyDescent="0.25">
      <c r="A28" s="9" t="str">
        <f t="shared" si="0"/>
        <v>3354-737d-9249-ce2b</v>
      </c>
      <c r="F28" s="7" t="s">
        <v>17</v>
      </c>
      <c r="G28" s="5" t="s">
        <v>18</v>
      </c>
      <c r="H28" s="10" t="s">
        <v>18</v>
      </c>
      <c r="N28" s="4" t="b">
        <f>COUNTIF($A28:$A$65535,$A28)&gt;1</f>
        <v>0</v>
      </c>
    </row>
    <row r="29" spans="1:14" x14ac:dyDescent="0.25">
      <c r="A29" s="9" t="str">
        <f t="shared" si="0"/>
        <v>097e-0fb7-1116-02a3</v>
      </c>
      <c r="F29" s="7" t="s">
        <v>17</v>
      </c>
      <c r="G29" s="5" t="s">
        <v>18</v>
      </c>
      <c r="H29" s="10" t="s">
        <v>18</v>
      </c>
      <c r="N29" s="4" t="b">
        <f>COUNTIF($A29:$A$65535,$A29)&gt;1</f>
        <v>0</v>
      </c>
    </row>
    <row r="30" spans="1:14" x14ac:dyDescent="0.25">
      <c r="A30" s="9" t="str">
        <f t="shared" si="0"/>
        <v>0e40-1c34-02f8-3a30</v>
      </c>
      <c r="F30" s="7" t="s">
        <v>17</v>
      </c>
      <c r="G30" s="5" t="s">
        <v>18</v>
      </c>
      <c r="H30" s="10" t="s">
        <v>18</v>
      </c>
      <c r="N30" s="4" t="b">
        <f>COUNTIF($A30:$A$65535,$A30)&gt;1</f>
        <v>0</v>
      </c>
    </row>
    <row r="31" spans="1:14" x14ac:dyDescent="0.25">
      <c r="A31" s="9" t="str">
        <f t="shared" si="0"/>
        <v>0192-36f6-54cc-48c2</v>
      </c>
      <c r="F31" s="7" t="s">
        <v>17</v>
      </c>
      <c r="G31" s="5" t="s">
        <v>18</v>
      </c>
      <c r="H31" s="10" t="s">
        <v>18</v>
      </c>
      <c r="N31" s="4" t="b">
        <f>COUNTIF($A31:$A$65535,$A31)&gt;1</f>
        <v>0</v>
      </c>
    </row>
    <row r="32" spans="1:14" x14ac:dyDescent="0.25">
      <c r="A32" s="9" t="str">
        <f t="shared" si="0"/>
        <v>1ba0-2de8-0a28-5210</v>
      </c>
      <c r="F32" s="7" t="s">
        <v>17</v>
      </c>
      <c r="G32" s="5" t="s">
        <v>18</v>
      </c>
      <c r="H32" s="10" t="s">
        <v>18</v>
      </c>
      <c r="N32" s="4" t="b">
        <f>COUNTIF($A32:$A$65535,$A32)&gt;1</f>
        <v>0</v>
      </c>
    </row>
    <row r="33" spans="1:14" x14ac:dyDescent="0.25">
      <c r="A33" s="9" t="str">
        <f t="shared" si="0"/>
        <v>07e7-0b39-0fdf-053f</v>
      </c>
      <c r="F33" s="7" t="s">
        <v>17</v>
      </c>
      <c r="G33" s="5" t="s">
        <v>18</v>
      </c>
      <c r="H33" s="10" t="s">
        <v>18</v>
      </c>
      <c r="N33" s="4" t="b">
        <f>COUNTIF($A33:$A$65535,$A33)&gt;1</f>
        <v>0</v>
      </c>
    </row>
    <row r="34" spans="1:14" x14ac:dyDescent="0.25">
      <c r="A34" s="9" t="str">
        <f t="shared" si="0"/>
        <v>2d87-06f0-5e86-5727</v>
      </c>
      <c r="F34" s="7" t="s">
        <v>17</v>
      </c>
      <c r="G34" s="5" t="s">
        <v>18</v>
      </c>
      <c r="H34" s="10" t="s">
        <v>18</v>
      </c>
      <c r="N34" s="4" t="b">
        <f>COUNTIF($A34:$A$65535,$A34)&gt;1</f>
        <v>0</v>
      </c>
    </row>
    <row r="35" spans="1:14" x14ac:dyDescent="0.25">
      <c r="A35" s="9" t="str">
        <f t="shared" si="0"/>
        <v>0f42-029a-0372-0546</v>
      </c>
      <c r="F35" s="7" t="s">
        <v>17</v>
      </c>
      <c r="G35" s="5" t="s">
        <v>18</v>
      </c>
      <c r="H35" s="10" t="s">
        <v>18</v>
      </c>
      <c r="N35" s="4" t="b">
        <f>COUNTIF($A35:$A$65535,$A35)&gt;1</f>
        <v>0</v>
      </c>
    </row>
    <row r="36" spans="1:14" x14ac:dyDescent="0.25">
      <c r="A36" s="9" t="str">
        <f t="shared" si="0"/>
        <v>1cf2-08c2-0616-1b50</v>
      </c>
      <c r="F36" s="7" t="s">
        <v>17</v>
      </c>
      <c r="G36" s="5" t="s">
        <v>18</v>
      </c>
      <c r="H36" s="10" t="s">
        <v>18</v>
      </c>
      <c r="N36" s="4" t="b">
        <f>COUNTIF($A36:$A$65535,$A36)&gt;1</f>
        <v>0</v>
      </c>
    </row>
    <row r="37" spans="1:14" x14ac:dyDescent="0.25">
      <c r="A37" s="9" t="str">
        <f t="shared" si="0"/>
        <v>2166-0d5c-0675-10ec</v>
      </c>
      <c r="F37" s="7" t="s">
        <v>17</v>
      </c>
      <c r="G37" s="5" t="s">
        <v>18</v>
      </c>
      <c r="H37" s="10" t="s">
        <v>18</v>
      </c>
      <c r="N37" s="4" t="b">
        <f>COUNTIF($A37:$A$65535,$A37)&gt;1</f>
        <v>0</v>
      </c>
    </row>
    <row r="38" spans="1:14" x14ac:dyDescent="0.25">
      <c r="A38" s="9" t="str">
        <f t="shared" si="0"/>
        <v>88d4-e268-17a0-0ad4</v>
      </c>
      <c r="F38" s="7" t="s">
        <v>17</v>
      </c>
      <c r="G38" s="5" t="s">
        <v>18</v>
      </c>
      <c r="H38" s="10" t="s">
        <v>18</v>
      </c>
      <c r="N38" s="4" t="b">
        <f>COUNTIF($A38:$A$65535,$A38)&gt;1</f>
        <v>0</v>
      </c>
    </row>
    <row r="39" spans="1:14" x14ac:dyDescent="0.25">
      <c r="A39" s="9" t="str">
        <f t="shared" si="0"/>
        <v>820e-9150-b2bc-7212</v>
      </c>
      <c r="F39" s="7" t="s">
        <v>17</v>
      </c>
      <c r="G39" s="5" t="s">
        <v>18</v>
      </c>
      <c r="H39" s="10" t="s">
        <v>18</v>
      </c>
      <c r="N39" s="4" t="b">
        <f>COUNTIF($A39:$A$65535,$A39)&gt;1</f>
        <v>0</v>
      </c>
    </row>
    <row r="40" spans="1:14" x14ac:dyDescent="0.25">
      <c r="A40" s="9" t="str">
        <f t="shared" si="0"/>
        <v>81ba-0f37-19a0-25a3</v>
      </c>
      <c r="F40" s="7" t="s">
        <v>17</v>
      </c>
      <c r="G40" s="5" t="s">
        <v>18</v>
      </c>
      <c r="H40" s="10" t="s">
        <v>18</v>
      </c>
      <c r="N40" s="4" t="b">
        <f>COUNTIF($A40:$A$65535,$A40)&gt;1</f>
        <v>0</v>
      </c>
    </row>
    <row r="41" spans="1:14" x14ac:dyDescent="0.25">
      <c r="A41" s="9"/>
    </row>
    <row r="42" spans="1:14" x14ac:dyDescent="0.25">
      <c r="A42" s="9"/>
    </row>
    <row r="43" spans="1:14" x14ac:dyDescent="0.25">
      <c r="A43" s="9"/>
    </row>
    <row r="44" spans="1:14" x14ac:dyDescent="0.25">
      <c r="A44" s="9"/>
    </row>
    <row r="45" spans="1:14" x14ac:dyDescent="0.25">
      <c r="A45" s="9"/>
    </row>
    <row r="46" spans="1:14" x14ac:dyDescent="0.25">
      <c r="A46" s="9"/>
    </row>
    <row r="47" spans="1:14" x14ac:dyDescent="0.25">
      <c r="A47" s="9"/>
    </row>
    <row r="48" spans="1:14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DE54-85DA-4B8B-B26D-363063871453}">
  <sheetPr codeName="Tabelle5"/>
  <dimension ref="A1:M512"/>
  <sheetViews>
    <sheetView zoomScaleNormal="100" workbookViewId="0">
      <pane ySplit="2" topLeftCell="A3" activePane="bottomLeft" state="frozen"/>
      <selection pane="bottomLeft" activeCell="A40" sqref="A40"/>
    </sheetView>
  </sheetViews>
  <sheetFormatPr baseColWidth="10" defaultRowHeight="15.75" x14ac:dyDescent="0.25"/>
  <cols>
    <col min="1" max="1" width="27.7109375" style="10" customWidth="1"/>
    <col min="2" max="2" width="78.28515625" style="4" customWidth="1"/>
    <col min="3" max="3" width="23.5703125" style="4" customWidth="1"/>
    <col min="4" max="4" width="15.5703125" style="13" customWidth="1"/>
    <col min="5" max="5" width="11.42578125" style="4"/>
    <col min="6" max="6" width="15.7109375" style="4" customWidth="1"/>
    <col min="7" max="7" width="12.5703125" style="10" customWidth="1"/>
    <col min="8" max="8" width="11.42578125" style="11"/>
    <col min="9" max="16384" width="11.42578125" style="4"/>
  </cols>
  <sheetData>
    <row r="1" spans="1:13" s="1" customFormat="1" ht="23.25" x14ac:dyDescent="0.35">
      <c r="A1" s="15" t="s">
        <v>6</v>
      </c>
      <c r="B1" s="15"/>
      <c r="C1" s="15"/>
      <c r="D1" s="12"/>
      <c r="M1" s="2" t="str">
        <f>IF(COUNTIF($M3:$M$65535,TRUE)&gt;0,"DUPLIKAT!","-")</f>
        <v>-</v>
      </c>
    </row>
    <row r="2" spans="1:13" s="3" customFormat="1" x14ac:dyDescent="0.25">
      <c r="A2" s="3" t="s">
        <v>7</v>
      </c>
      <c r="B2" s="3" t="s">
        <v>8</v>
      </c>
      <c r="C2" s="3" t="s">
        <v>34</v>
      </c>
      <c r="D2" s="3" t="s">
        <v>36</v>
      </c>
      <c r="E2" s="3" t="s">
        <v>32</v>
      </c>
      <c r="F2" s="3" t="s">
        <v>33</v>
      </c>
      <c r="G2" s="3" t="s">
        <v>11</v>
      </c>
      <c r="M2" s="3" t="s">
        <v>5</v>
      </c>
    </row>
    <row r="3" spans="1:13" x14ac:dyDescent="0.25">
      <c r="A3" s="9" t="str">
        <f t="shared" ref="A3:A40" si="0"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4d61-cb04-c2b2-5409</v>
      </c>
      <c r="B3" s="4" t="s">
        <v>35</v>
      </c>
      <c r="C3" s="5">
        <v>43387</v>
      </c>
      <c r="D3" s="14" t="s">
        <v>37</v>
      </c>
      <c r="E3" s="6" t="s">
        <v>15</v>
      </c>
      <c r="F3" s="5">
        <v>43387</v>
      </c>
      <c r="G3" s="10" t="s">
        <v>16</v>
      </c>
      <c r="M3" s="4" t="b">
        <f>COUNTIF($A3:$A$65535,$A3)&gt;1</f>
        <v>0</v>
      </c>
    </row>
    <row r="4" spans="1:13" x14ac:dyDescent="0.25">
      <c r="A4" s="9" t="str">
        <f t="shared" si="0"/>
        <v>3e55-0bb5-16c8-1e60</v>
      </c>
      <c r="B4" s="4" t="s">
        <v>38</v>
      </c>
      <c r="C4" s="5">
        <v>43387</v>
      </c>
      <c r="D4" s="13" t="s">
        <v>39</v>
      </c>
      <c r="E4" s="7" t="s">
        <v>17</v>
      </c>
      <c r="F4" s="4" t="s">
        <v>18</v>
      </c>
      <c r="G4" s="10" t="s">
        <v>18</v>
      </c>
      <c r="M4" s="4" t="b">
        <f>COUNTIF($A4:$A$65535,$A4)&gt;1</f>
        <v>0</v>
      </c>
    </row>
    <row r="5" spans="1:13" x14ac:dyDescent="0.25">
      <c r="A5" s="9" t="str">
        <f t="shared" si="0"/>
        <v>3eb0-29b4-2c5c-2244</v>
      </c>
      <c r="E5" s="7" t="s">
        <v>17</v>
      </c>
      <c r="F5" s="4" t="s">
        <v>18</v>
      </c>
      <c r="G5" s="10" t="s">
        <v>18</v>
      </c>
      <c r="M5" s="4" t="b">
        <f>COUNTIF($A5:$A$65535,$A5)&gt;1</f>
        <v>0</v>
      </c>
    </row>
    <row r="6" spans="1:13" x14ac:dyDescent="0.25">
      <c r="A6" s="9" t="str">
        <f t="shared" si="0"/>
        <v>0930-184f-0c71-0ca2</v>
      </c>
      <c r="E6" s="7" t="s">
        <v>17</v>
      </c>
      <c r="F6" s="4" t="s">
        <v>18</v>
      </c>
      <c r="G6" s="10" t="s">
        <v>18</v>
      </c>
      <c r="M6" s="4" t="b">
        <f>COUNTIF($A6:$A$65535,$A6)&gt;1</f>
        <v>0</v>
      </c>
    </row>
    <row r="7" spans="1:13" x14ac:dyDescent="0.25">
      <c r="A7" s="9" t="str">
        <f t="shared" si="0"/>
        <v>0b00-136c-1d90-2b50</v>
      </c>
      <c r="E7" s="7" t="s">
        <v>17</v>
      </c>
      <c r="F7" s="4" t="s">
        <v>18</v>
      </c>
      <c r="G7" s="10" t="s">
        <v>18</v>
      </c>
      <c r="M7" s="4" t="b">
        <f>COUNTIF($A7:$A$65535,$A7)&gt;1</f>
        <v>0</v>
      </c>
    </row>
    <row r="8" spans="1:13" x14ac:dyDescent="0.25">
      <c r="A8" s="9" t="str">
        <f t="shared" si="0"/>
        <v>1b3c-119c-0674-1768</v>
      </c>
      <c r="E8" s="7" t="s">
        <v>17</v>
      </c>
      <c r="F8" s="4" t="s">
        <v>18</v>
      </c>
      <c r="G8" s="10" t="s">
        <v>18</v>
      </c>
      <c r="M8" s="4" t="b">
        <f>COUNTIF($A8:$A$65535,$A8)&gt;1</f>
        <v>0</v>
      </c>
    </row>
    <row r="9" spans="1:13" x14ac:dyDescent="0.25">
      <c r="A9" s="9" t="str">
        <f t="shared" si="0"/>
        <v>7530-1c20-b608-3520</v>
      </c>
      <c r="E9" s="7" t="s">
        <v>17</v>
      </c>
      <c r="F9" s="4" t="s">
        <v>18</v>
      </c>
      <c r="G9" s="10" t="s">
        <v>18</v>
      </c>
      <c r="M9" s="4" t="b">
        <f>COUNTIF($A9:$A$65535,$A9)&gt;1</f>
        <v>0</v>
      </c>
    </row>
    <row r="10" spans="1:13" x14ac:dyDescent="0.25">
      <c r="A10" s="9" t="str">
        <f t="shared" si="0"/>
        <v>8c10-6810-85e0-8670</v>
      </c>
      <c r="E10" s="7" t="s">
        <v>17</v>
      </c>
      <c r="F10" s="4" t="s">
        <v>18</v>
      </c>
      <c r="G10" s="10" t="s">
        <v>18</v>
      </c>
      <c r="M10" s="4" t="b">
        <f>COUNTIF($A10:$A$65535,$A10)&gt;1</f>
        <v>0</v>
      </c>
    </row>
    <row r="11" spans="1:13" x14ac:dyDescent="0.25">
      <c r="A11" s="9" t="str">
        <f t="shared" si="0"/>
        <v>0222-03e2-000e-0206</v>
      </c>
      <c r="E11" s="7" t="s">
        <v>17</v>
      </c>
      <c r="F11" s="4" t="s">
        <v>18</v>
      </c>
      <c r="G11" s="10" t="s">
        <v>18</v>
      </c>
      <c r="M11" s="4" t="b">
        <f>COUNTIF($A11:$A$65535,$A11)&gt;1</f>
        <v>0</v>
      </c>
    </row>
    <row r="12" spans="1:13" x14ac:dyDescent="0.25">
      <c r="A12" s="9" t="str">
        <f t="shared" si="0"/>
        <v>0e14-1e48-1b18-35a8</v>
      </c>
      <c r="E12" s="7" t="s">
        <v>17</v>
      </c>
      <c r="F12" s="4" t="s">
        <v>18</v>
      </c>
      <c r="G12" s="10" t="s">
        <v>18</v>
      </c>
      <c r="M12" s="4" t="b">
        <f>COUNTIF($A12:$A$65535,$A12)&gt;1</f>
        <v>0</v>
      </c>
    </row>
    <row r="13" spans="1:13" x14ac:dyDescent="0.25">
      <c r="A13" s="9" t="str">
        <f t="shared" si="0"/>
        <v>4ada-8cc4-3a18-0bbb</v>
      </c>
      <c r="E13" s="7" t="s">
        <v>17</v>
      </c>
      <c r="F13" s="4" t="s">
        <v>18</v>
      </c>
      <c r="G13" s="10" t="s">
        <v>18</v>
      </c>
      <c r="M13" s="4" t="b">
        <f>COUNTIF($A13:$A$65535,$A13)&gt;1</f>
        <v>0</v>
      </c>
    </row>
    <row r="14" spans="1:13" x14ac:dyDescent="0.25">
      <c r="A14" s="9" t="str">
        <f t="shared" si="0"/>
        <v>7f94-c044-8976-6752</v>
      </c>
      <c r="E14" s="7" t="s">
        <v>17</v>
      </c>
      <c r="F14" s="4" t="s">
        <v>18</v>
      </c>
      <c r="G14" s="10" t="s">
        <v>18</v>
      </c>
      <c r="M14" s="4" t="b">
        <f>COUNTIF($A14:$A$65535,$A14)&gt;1</f>
        <v>0</v>
      </c>
    </row>
    <row r="15" spans="1:13" x14ac:dyDescent="0.25">
      <c r="A15" s="9" t="str">
        <f t="shared" si="0"/>
        <v>348c-15d2-1962-3900</v>
      </c>
      <c r="E15" s="7" t="s">
        <v>17</v>
      </c>
      <c r="F15" s="4" t="s">
        <v>18</v>
      </c>
      <c r="G15" s="10" t="s">
        <v>18</v>
      </c>
      <c r="M15" s="4" t="b">
        <f>COUNTIF($A15:$A$65535,$A15)&gt;1</f>
        <v>0</v>
      </c>
    </row>
    <row r="16" spans="1:13" x14ac:dyDescent="0.25">
      <c r="A16" s="9" t="str">
        <f t="shared" si="0"/>
        <v>4200-9a00-9ab0-7430</v>
      </c>
      <c r="E16" s="7" t="s">
        <v>17</v>
      </c>
      <c r="F16" s="4" t="s">
        <v>18</v>
      </c>
      <c r="G16" s="10" t="s">
        <v>18</v>
      </c>
      <c r="M16" s="4" t="b">
        <f>COUNTIF($A16:$A$65535,$A16)&gt;1</f>
        <v>0</v>
      </c>
    </row>
    <row r="17" spans="1:13" x14ac:dyDescent="0.25">
      <c r="A17" s="9" t="str">
        <f t="shared" si="0"/>
        <v>1b6c-01ad-057c-06b4</v>
      </c>
      <c r="E17" s="7" t="s">
        <v>17</v>
      </c>
      <c r="F17" s="4" t="s">
        <v>18</v>
      </c>
      <c r="G17" s="10" t="s">
        <v>18</v>
      </c>
      <c r="M17" s="4" t="b">
        <f>COUNTIF($A17:$A$65535,$A17)&gt;1</f>
        <v>0</v>
      </c>
    </row>
    <row r="18" spans="1:13" x14ac:dyDescent="0.25">
      <c r="A18" s="9" t="str">
        <f t="shared" si="0"/>
        <v>1e68-61bc-5def-55ca</v>
      </c>
      <c r="E18" s="7" t="s">
        <v>17</v>
      </c>
      <c r="F18" s="4" t="s">
        <v>18</v>
      </c>
      <c r="G18" s="10" t="s">
        <v>18</v>
      </c>
      <c r="M18" s="4" t="b">
        <f>COUNTIF($A18:$A$65535,$A18)&gt;1</f>
        <v>0</v>
      </c>
    </row>
    <row r="19" spans="1:13" x14ac:dyDescent="0.25">
      <c r="A19" s="9" t="str">
        <f t="shared" si="0"/>
        <v>02ca-06eb-0444-03d4</v>
      </c>
      <c r="E19" s="7" t="s">
        <v>17</v>
      </c>
      <c r="F19" s="4" t="s">
        <v>18</v>
      </c>
      <c r="G19" s="10" t="s">
        <v>18</v>
      </c>
      <c r="M19" s="4" t="b">
        <f>COUNTIF($A19:$A$65535,$A19)&gt;1</f>
        <v>0</v>
      </c>
    </row>
    <row r="20" spans="1:13" x14ac:dyDescent="0.25">
      <c r="A20" s="9" t="str">
        <f t="shared" si="0"/>
        <v>0fd2-0b40-1482-0a14</v>
      </c>
      <c r="E20" s="7" t="s">
        <v>17</v>
      </c>
      <c r="F20" s="4" t="s">
        <v>18</v>
      </c>
      <c r="G20" s="10" t="s">
        <v>18</v>
      </c>
      <c r="M20" s="4" t="b">
        <f>COUNTIF($A20:$A$65535,$A20)&gt;1</f>
        <v>0</v>
      </c>
    </row>
    <row r="21" spans="1:13" x14ac:dyDescent="0.25">
      <c r="A21" s="9" t="str">
        <f t="shared" si="0"/>
        <v>7e8f-8163-213b-a353</v>
      </c>
      <c r="E21" s="7" t="s">
        <v>17</v>
      </c>
      <c r="F21" s="4" t="s">
        <v>18</v>
      </c>
      <c r="G21" s="10" t="s">
        <v>18</v>
      </c>
      <c r="M21" s="4" t="b">
        <f>COUNTIF($A21:$A$65535,$A21)&gt;1</f>
        <v>0</v>
      </c>
    </row>
    <row r="22" spans="1:13" x14ac:dyDescent="0.25">
      <c r="A22" s="9" t="str">
        <f t="shared" si="0"/>
        <v>3a5a-4b7f-0f0a-0906</v>
      </c>
      <c r="E22" s="7" t="s">
        <v>17</v>
      </c>
      <c r="F22" s="4" t="s">
        <v>18</v>
      </c>
      <c r="G22" s="10" t="s">
        <v>18</v>
      </c>
      <c r="M22" s="4" t="b">
        <f>COUNTIF($A22:$A$65535,$A22)&gt;1</f>
        <v>0</v>
      </c>
    </row>
    <row r="23" spans="1:13" x14ac:dyDescent="0.25">
      <c r="A23" s="9" t="str">
        <f t="shared" si="0"/>
        <v>3f09-69b2-94fe-8fe6</v>
      </c>
      <c r="E23" s="7" t="s">
        <v>17</v>
      </c>
      <c r="F23" s="4" t="s">
        <v>18</v>
      </c>
      <c r="G23" s="10" t="s">
        <v>18</v>
      </c>
      <c r="M23" s="4" t="b">
        <f>COUNTIF($A23:$A$65535,$A23)&gt;1</f>
        <v>0</v>
      </c>
    </row>
    <row r="24" spans="1:13" x14ac:dyDescent="0.25">
      <c r="A24" s="9" t="str">
        <f t="shared" si="0"/>
        <v>432f-60b7-836a-2e83</v>
      </c>
      <c r="E24" s="7" t="s">
        <v>17</v>
      </c>
      <c r="F24" s="4" t="s">
        <v>18</v>
      </c>
      <c r="G24" s="10" t="s">
        <v>18</v>
      </c>
      <c r="M24" s="4" t="b">
        <f>COUNTIF($A24:$A$65535,$A24)&gt;1</f>
        <v>0</v>
      </c>
    </row>
    <row r="25" spans="1:13" x14ac:dyDescent="0.25">
      <c r="A25" s="9" t="str">
        <f t="shared" si="0"/>
        <v>01fc-0194-01b0-0298</v>
      </c>
      <c r="E25" s="7" t="s">
        <v>17</v>
      </c>
      <c r="F25" s="4" t="s">
        <v>18</v>
      </c>
      <c r="G25" s="10" t="s">
        <v>18</v>
      </c>
      <c r="M25" s="4" t="b">
        <f>COUNTIF($A25:$A$65535,$A25)&gt;1</f>
        <v>0</v>
      </c>
    </row>
    <row r="26" spans="1:13" x14ac:dyDescent="0.25">
      <c r="A26" s="9" t="str">
        <f t="shared" si="0"/>
        <v>b272-349c-91be-69ee</v>
      </c>
      <c r="E26" s="7" t="s">
        <v>17</v>
      </c>
      <c r="F26" s="4" t="s">
        <v>18</v>
      </c>
      <c r="G26" s="10" t="s">
        <v>18</v>
      </c>
      <c r="M26" s="4" t="b">
        <f>COUNTIF($A26:$A$65535,$A26)&gt;1</f>
        <v>0</v>
      </c>
    </row>
    <row r="27" spans="1:13" x14ac:dyDescent="0.25">
      <c r="A27" s="9" t="str">
        <f t="shared" si="0"/>
        <v>4faa-ac7a-4a40-3a02</v>
      </c>
      <c r="E27" s="7" t="s">
        <v>17</v>
      </c>
      <c r="F27" s="4" t="s">
        <v>18</v>
      </c>
      <c r="G27" s="10" t="s">
        <v>18</v>
      </c>
      <c r="M27" s="4" t="b">
        <f>COUNTIF($A27:$A$65535,$A27)&gt;1</f>
        <v>0</v>
      </c>
    </row>
    <row r="28" spans="1:13" x14ac:dyDescent="0.25">
      <c r="A28" s="9" t="str">
        <f t="shared" si="0"/>
        <v>b8c8-0447-6186-54b1</v>
      </c>
      <c r="E28" s="7" t="s">
        <v>17</v>
      </c>
      <c r="F28" s="4" t="s">
        <v>18</v>
      </c>
      <c r="G28" s="10" t="s">
        <v>18</v>
      </c>
      <c r="M28" s="4" t="b">
        <f>COUNTIF($A28:$A$65535,$A28)&gt;1</f>
        <v>0</v>
      </c>
    </row>
    <row r="29" spans="1:13" x14ac:dyDescent="0.25">
      <c r="A29" s="9" t="str">
        <f t="shared" si="0"/>
        <v>0e3d-125a-140a-16e3</v>
      </c>
      <c r="E29" s="7" t="s">
        <v>17</v>
      </c>
      <c r="F29" s="4" t="s">
        <v>18</v>
      </c>
      <c r="G29" s="10" t="s">
        <v>18</v>
      </c>
      <c r="M29" s="4" t="b">
        <f>COUNTIF($A29:$A$65535,$A29)&gt;1</f>
        <v>0</v>
      </c>
    </row>
    <row r="30" spans="1:13" x14ac:dyDescent="0.25">
      <c r="A30" s="9" t="str">
        <f t="shared" si="0"/>
        <v>2010-11d0-01c8-3a30</v>
      </c>
      <c r="E30" s="7" t="s">
        <v>17</v>
      </c>
      <c r="F30" s="4" t="s">
        <v>18</v>
      </c>
      <c r="G30" s="10" t="s">
        <v>18</v>
      </c>
      <c r="M30" s="4" t="b">
        <f>COUNTIF($A30:$A$65535,$A30)&gt;1</f>
        <v>0</v>
      </c>
    </row>
    <row r="31" spans="1:13" x14ac:dyDescent="0.25">
      <c r="A31" s="9" t="str">
        <f t="shared" si="0"/>
        <v>03aa-6374-4730-0754</v>
      </c>
      <c r="E31" s="7" t="s">
        <v>17</v>
      </c>
      <c r="F31" s="4" t="s">
        <v>18</v>
      </c>
      <c r="G31" s="10" t="s">
        <v>18</v>
      </c>
      <c r="M31" s="4" t="b">
        <f>COUNTIF($A31:$A$65535,$A31)&gt;1</f>
        <v>0</v>
      </c>
    </row>
    <row r="32" spans="1:13" x14ac:dyDescent="0.25">
      <c r="A32" s="9" t="str">
        <f t="shared" si="0"/>
        <v>3058-3cf0-1040-45e0</v>
      </c>
      <c r="E32" s="7" t="s">
        <v>17</v>
      </c>
      <c r="F32" s="4" t="s">
        <v>18</v>
      </c>
      <c r="G32" s="10" t="s">
        <v>18</v>
      </c>
      <c r="M32" s="4" t="b">
        <f>COUNTIF($A32:$A$65535,$A32)&gt;1</f>
        <v>0</v>
      </c>
    </row>
    <row r="33" spans="1:13" x14ac:dyDescent="0.25">
      <c r="A33" s="9" t="str">
        <f t="shared" si="0"/>
        <v>0440-061c-0be3-0d04</v>
      </c>
      <c r="E33" s="7" t="s">
        <v>17</v>
      </c>
      <c r="F33" s="4" t="s">
        <v>18</v>
      </c>
      <c r="G33" s="10" t="s">
        <v>18</v>
      </c>
      <c r="M33" s="4" t="b">
        <f>COUNTIF($A33:$A$65535,$A33)&gt;1</f>
        <v>0</v>
      </c>
    </row>
    <row r="34" spans="1:13" x14ac:dyDescent="0.25">
      <c r="A34" s="9" t="str">
        <f t="shared" si="0"/>
        <v>5b0e-4cbf-0f2d-168c</v>
      </c>
      <c r="E34" s="7" t="s">
        <v>17</v>
      </c>
      <c r="F34" s="4" t="s">
        <v>18</v>
      </c>
      <c r="G34" s="10" t="s">
        <v>18</v>
      </c>
      <c r="M34" s="4" t="b">
        <f>COUNTIF($A34:$A$65535,$A34)&gt;1</f>
        <v>0</v>
      </c>
    </row>
    <row r="35" spans="1:13" x14ac:dyDescent="0.25">
      <c r="A35" s="9" t="str">
        <f t="shared" si="0"/>
        <v>09d8-084c-0ee8-0ca8</v>
      </c>
      <c r="E35" s="7" t="s">
        <v>17</v>
      </c>
      <c r="F35" s="4" t="s">
        <v>18</v>
      </c>
      <c r="G35" s="10" t="s">
        <v>18</v>
      </c>
      <c r="M35" s="4" t="b">
        <f>COUNTIF($A35:$A$65535,$A35)&gt;1</f>
        <v>0</v>
      </c>
    </row>
    <row r="36" spans="1:13" x14ac:dyDescent="0.25">
      <c r="A36" s="9" t="str">
        <f t="shared" si="0"/>
        <v>1ee0-09f2-05f0-14a2</v>
      </c>
      <c r="E36" s="7" t="s">
        <v>17</v>
      </c>
      <c r="F36" s="4" t="s">
        <v>18</v>
      </c>
      <c r="G36" s="10" t="s">
        <v>18</v>
      </c>
      <c r="M36" s="4" t="b">
        <f>COUNTIF($A36:$A$65535,$A36)&gt;1</f>
        <v>0</v>
      </c>
    </row>
    <row r="37" spans="1:13" x14ac:dyDescent="0.25">
      <c r="A37" s="9" t="str">
        <f t="shared" si="0"/>
        <v>031e-31a7-0eeb-160b</v>
      </c>
      <c r="E37" s="7" t="s">
        <v>17</v>
      </c>
      <c r="F37" s="4" t="s">
        <v>18</v>
      </c>
      <c r="G37" s="10" t="s">
        <v>18</v>
      </c>
      <c r="M37" s="4" t="b">
        <f>COUNTIF($A37:$A$65535,$A37)&gt;1</f>
        <v>0</v>
      </c>
    </row>
    <row r="38" spans="1:13" x14ac:dyDescent="0.25">
      <c r="A38" s="9" t="str">
        <f t="shared" si="0"/>
        <v>17a0-eb44-dd7c-e754</v>
      </c>
      <c r="E38" s="7" t="s">
        <v>17</v>
      </c>
      <c r="F38" s="4" t="s">
        <v>18</v>
      </c>
      <c r="G38" s="10" t="s">
        <v>18</v>
      </c>
      <c r="M38" s="4" t="b">
        <f>COUNTIF($A38:$A$65535,$A38)&gt;1</f>
        <v>0</v>
      </c>
    </row>
    <row r="39" spans="1:13" x14ac:dyDescent="0.25">
      <c r="A39" s="9" t="str">
        <f t="shared" si="0"/>
        <v>28b0-5502-0000-67e6</v>
      </c>
      <c r="E39" s="7" t="s">
        <v>17</v>
      </c>
      <c r="F39" s="4" t="s">
        <v>18</v>
      </c>
      <c r="G39" s="10" t="s">
        <v>18</v>
      </c>
      <c r="M39" s="4" t="b">
        <f>COUNTIF($A39:$A$65535,$A39)&gt;1</f>
        <v>0</v>
      </c>
    </row>
    <row r="40" spans="1:13" x14ac:dyDescent="0.25">
      <c r="A40" s="9" t="str">
        <f t="shared" si="0"/>
        <v>6c1b-14d2-7684-8dbd</v>
      </c>
      <c r="E40" s="7" t="s">
        <v>17</v>
      </c>
      <c r="F40" s="4" t="s">
        <v>18</v>
      </c>
      <c r="G40" s="10" t="s">
        <v>18</v>
      </c>
      <c r="M40" s="4" t="b">
        <f>COUNTIF($A40:$A$65535,$A40)&gt;1</f>
        <v>0</v>
      </c>
    </row>
    <row r="41" spans="1:13" x14ac:dyDescent="0.25">
      <c r="A41" s="9"/>
    </row>
    <row r="42" spans="1:13" x14ac:dyDescent="0.25">
      <c r="A42" s="9"/>
    </row>
    <row r="43" spans="1:13" x14ac:dyDescent="0.25">
      <c r="A43" s="9"/>
    </row>
    <row r="44" spans="1:13" x14ac:dyDescent="0.25">
      <c r="A44" s="9"/>
    </row>
    <row r="45" spans="1:13" x14ac:dyDescent="0.25">
      <c r="A45" s="9"/>
    </row>
    <row r="46" spans="1:13" x14ac:dyDescent="0.25">
      <c r="A46" s="9"/>
    </row>
    <row r="47" spans="1:13" x14ac:dyDescent="0.25">
      <c r="A47" s="9"/>
    </row>
    <row r="48" spans="1:13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Feature Wishlist</vt:lpstr>
      <vt:lpstr>Bug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</dc:creator>
  <cp:lastModifiedBy>Johannes</cp:lastModifiedBy>
  <dcterms:created xsi:type="dcterms:W3CDTF">2018-10-14T18:42:27Z</dcterms:created>
  <dcterms:modified xsi:type="dcterms:W3CDTF">2018-10-21T14:25:13Z</dcterms:modified>
</cp:coreProperties>
</file>